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ject Config" sheetId="1" state="visible" r:id="rId3"/>
    <sheet name="Frequency Table" sheetId="2" state="visible" r:id="rId4"/>
    <sheet name="Speaker Config" sheetId="3" state="visible" r:id="rId5"/>
    <sheet name="Feature List" sheetId="4" state="visible" r:id="rId6"/>
    <sheet name="Runtime Input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<sst xmlns="http://schemas.openxmlformats.org/spreadsheetml/2006/main" count="226" uniqueCount="138">
  <si>
    <t xml:space="preserve">ROOM MODES SIMULATION ENGINE — v1.0</t>
  </si>
  <si>
    <t xml:space="preserve">Parameter</t>
  </si>
  <si>
    <t xml:space="preserve">Value</t>
  </si>
  <si>
    <t xml:space="preserve">Unit</t>
  </si>
  <si>
    <t xml:space="preserve">Notes</t>
  </si>
  <si>
    <t xml:space="preserve">Project Name</t>
  </si>
  <si>
    <t xml:space="preserve">Room Modes Simulation Engine v1.0</t>
  </si>
  <si>
    <t xml:space="preserve">Simulation Type</t>
  </si>
  <si>
    <t xml:space="preserve">2D Acoustic Simulation</t>
  </si>
  <si>
    <t xml:space="preserve">World Width</t>
  </si>
  <si>
    <t xml:space="preserve">m</t>
  </si>
  <si>
    <t xml:space="preserve">Simulation space width</t>
  </si>
  <si>
    <t xml:space="preserve">World Height</t>
  </si>
  <si>
    <t xml:space="preserve">Simulation space height</t>
  </si>
  <si>
    <t xml:space="preserve">Total Area</t>
  </si>
  <si>
    <t xml:space="preserve">m²</t>
  </si>
  <si>
    <t xml:space="preserve">World Width x World Height</t>
  </si>
  <si>
    <t xml:space="preserve">Speed of Sound</t>
  </si>
  <si>
    <t xml:space="preserve">m/s</t>
  </si>
  <si>
    <t xml:space="preserve">At ~24°C</t>
  </si>
  <si>
    <t xml:space="preserve">Reference SPL</t>
  </si>
  <si>
    <t xml:space="preserve">dB</t>
  </si>
  <si>
    <t xml:space="preserve">Relative only</t>
  </si>
  <si>
    <t xml:space="preserve">Measurement Type</t>
  </si>
  <si>
    <t xml:space="preserve">Relative</t>
  </si>
  <si>
    <t xml:space="preserve">No absolute SPL</t>
  </si>
  <si>
    <t xml:space="preserve">Color Step</t>
  </si>
  <si>
    <t xml:space="preserve">Each contour changes by 3 dB</t>
  </si>
  <si>
    <t xml:space="preserve">Minimum Frequency</t>
  </si>
  <si>
    <t xml:space="preserve">Hz</t>
  </si>
  <si>
    <t xml:space="preserve">Maximum Frequency</t>
  </si>
  <si>
    <t xml:space="preserve">Frequency Count</t>
  </si>
  <si>
    <t xml:space="preserve">Speaker Max Gain</t>
  </si>
  <si>
    <t xml:space="preserve">Maximum output</t>
  </si>
  <si>
    <t xml:space="preserve">Gain Step</t>
  </si>
  <si>
    <t xml:space="preserve">Adjustment step</t>
  </si>
  <si>
    <t xml:space="preserve">Polarity Modes</t>
  </si>
  <si>
    <t xml:space="preserve">Normal and Reverse</t>
  </si>
  <si>
    <t xml:space="preserve">Orientation Modes</t>
  </si>
  <si>
    <t xml:space="preserve">Forward and Reverse</t>
  </si>
  <si>
    <t xml:space="preserve">FREQUENCY &amp; WAVELENGTH TABLE</t>
  </si>
  <si>
    <t xml:space="preserve">Frequency (Hz)</t>
  </si>
  <si>
    <t xml:space="preserve">Wavelength (m)</t>
  </si>
  <si>
    <t xml:space="preserve">Included in Simulation</t>
  </si>
  <si>
    <t xml:space="preserve">YES</t>
  </si>
  <si>
    <t xml:space="preserve">SPEAKER / SUBWOOFER CONFIGURATION</t>
  </si>
  <si>
    <t xml:space="preserve">Speaker Type</t>
  </si>
  <si>
    <t xml:space="preserve">Subwoofer</t>
  </si>
  <si>
    <t xml:space="preserve">Atomik Audio XN 18.0.2 (or similar)</t>
  </si>
  <si>
    <t xml:space="preserve">Cabinet Width</t>
  </si>
  <si>
    <t xml:space="preserve">738 mm</t>
  </si>
  <si>
    <t xml:space="preserve">Cabinet Height</t>
  </si>
  <si>
    <t xml:space="preserve">595 mm</t>
  </si>
  <si>
    <t xml:space="preserve">Cabinet Depth</t>
  </si>
  <si>
    <t xml:space="preserve">708 mm</t>
  </si>
  <si>
    <t xml:space="preserve">Weight</t>
  </si>
  <si>
    <t xml:space="preserve">kg</t>
  </si>
  <si>
    <t xml:space="preserve">104 lbs</t>
  </si>
  <si>
    <t xml:space="preserve">Nominal Impedance</t>
  </si>
  <si>
    <t xml:space="preserve">ohms</t>
  </si>
  <si>
    <t xml:space="preserve">Frequency Response (-3dB low)</t>
  </si>
  <si>
    <t xml:space="preserve">High end listed as 300kHz on site — likely typo for 300Hz, verify with manufacturer</t>
  </si>
  <si>
    <t xml:space="preserve">Peak Power</t>
  </si>
  <si>
    <t xml:space="preserve">W</t>
  </si>
  <si>
    <t xml:space="preserve">Confirm if this is peak or continuous/RMS rating</t>
  </si>
  <si>
    <t xml:space="preserve">Driver Size</t>
  </si>
  <si>
    <t xml:space="preserve">Not Required</t>
  </si>
  <si>
    <t xml:space="preserve">Ignored for simulation purposes</t>
  </si>
  <si>
    <t xml:space="preserve">Move on X Axis</t>
  </si>
  <si>
    <t xml:space="preserve">Move on Y Axis</t>
  </si>
  <si>
    <t xml:space="preserve">Multiple Speakers</t>
  </si>
  <si>
    <t xml:space="preserve">Gain Adjustable</t>
  </si>
  <si>
    <t xml:space="preserve">Delay Adjustable</t>
  </si>
  <si>
    <t xml:space="preserve">Polarity Reversal</t>
  </si>
  <si>
    <t xml:space="preserve">Orientation Reversal</t>
  </si>
  <si>
    <t xml:space="preserve">FEATURE LIST — v1.0</t>
  </si>
  <si>
    <t xml:space="preserve">Feature Category</t>
  </si>
  <si>
    <t xml:space="preserve">Feature</t>
  </si>
  <si>
    <t xml:space="preserve">Status</t>
  </si>
  <si>
    <t xml:space="preserve">Simulation</t>
  </si>
  <si>
    <t xml:space="preserve">30m x 30m World</t>
  </si>
  <si>
    <t xml:space="preserve">Required</t>
  </si>
  <si>
    <t xml:space="preserve">Fixed simulation area</t>
  </si>
  <si>
    <t xml:space="preserve">2D Acoustic Engine</t>
  </si>
  <si>
    <t xml:space="preserve">Top view simulation</t>
  </si>
  <si>
    <t xml:space="preserve">Pressure Mapping</t>
  </si>
  <si>
    <t xml:space="preserve">SPL Mapping</t>
  </si>
  <si>
    <t xml:space="preserve">Interference Pattern</t>
  </si>
  <si>
    <t xml:space="preserve">Directivity Plot</t>
  </si>
  <si>
    <t xml:space="preserve">Speaker</t>
  </si>
  <si>
    <t xml:space="preserve">Add Speaker</t>
  </si>
  <si>
    <t xml:space="preserve">Delete Speaker</t>
  </si>
  <si>
    <t xml:space="preserve">Move Speaker X</t>
  </si>
  <si>
    <t xml:space="preserve">Move Speaker Y</t>
  </si>
  <si>
    <t xml:space="preserve">Multiple Speaker Support</t>
  </si>
  <si>
    <t xml:space="preserve">Audio</t>
  </si>
  <si>
    <t xml:space="preserve">Frequency Selection</t>
  </si>
  <si>
    <t xml:space="preserve">13 frequencies only</t>
  </si>
  <si>
    <t xml:space="preserve">Gain Control</t>
  </si>
  <si>
    <t xml:space="preserve">1 dB steps</t>
  </si>
  <si>
    <t xml:space="preserve">Delay Control</t>
  </si>
  <si>
    <t xml:space="preserve">Polarity Reverse</t>
  </si>
  <si>
    <t xml:space="preserve">Orientation Reverse</t>
  </si>
  <si>
    <t xml:space="preserve">Visualization</t>
  </si>
  <si>
    <t xml:space="preserve">Speaker Position Display</t>
  </si>
  <si>
    <t xml:space="preserve">SPL Color Contours</t>
  </si>
  <si>
    <t xml:space="preserve">3 dB increments</t>
  </si>
  <si>
    <t xml:space="preserve">Red Color</t>
  </si>
  <si>
    <t xml:space="preserve">0 dB</t>
  </si>
  <si>
    <t xml:space="preserve">Orange Color</t>
  </si>
  <si>
    <t xml:space="preserve">-3 dB</t>
  </si>
  <si>
    <t xml:space="preserve">Yellow Color</t>
  </si>
  <si>
    <t xml:space="preserve">-6 dB</t>
  </si>
  <si>
    <t xml:space="preserve">Green Color</t>
  </si>
  <si>
    <t xml:space="preserve">-9 dB</t>
  </si>
  <si>
    <t xml:space="preserve">Blue Color</t>
  </si>
  <si>
    <t xml:space="preserve">-12 dB</t>
  </si>
  <si>
    <t xml:space="preserve">Dark Blue</t>
  </si>
  <si>
    <t xml:space="preserve">Optional</t>
  </si>
  <si>
    <t xml:space="preserve">-15 dB</t>
  </si>
  <si>
    <t xml:space="preserve">Purple</t>
  </si>
  <si>
    <t xml:space="preserve">-18 dB</t>
  </si>
  <si>
    <t xml:space="preserve">SPEAKER RUNTIME INPUTS</t>
  </si>
  <si>
    <t xml:space="preserve">Speaker ID</t>
  </si>
  <si>
    <t xml:space="preserve">X Position (m)</t>
  </si>
  <si>
    <t xml:space="preserve">Y Position (m)</t>
  </si>
  <si>
    <t xml:space="preserve">Gain (dB)</t>
  </si>
  <si>
    <t xml:space="preserve">Delay (ms)</t>
  </si>
  <si>
    <t xml:space="preserve">Polarity</t>
  </si>
  <si>
    <t xml:space="preserve">Orientation</t>
  </si>
  <si>
    <t xml:space="preserve">Enabled</t>
  </si>
  <si>
    <t xml:space="preserve">SPK_1</t>
  </si>
  <si>
    <t xml:space="preserve">Normal</t>
  </si>
  <si>
    <t xml:space="preserve">Forward</t>
  </si>
  <si>
    <t xml:space="preserve">SPK_2</t>
  </si>
  <si>
    <t xml:space="preserve">SPK_3</t>
  </si>
  <si>
    <t xml:space="preserve">NO</t>
  </si>
  <si>
    <t xml:space="preserve">SPK_4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</si>
</sst>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2937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6B728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D1FAE5"/>
        <bgColor rgb="FFCCFFFF"/>
      </patternFill>
    </fill>
    <fill>
      <patternFill patternType="solid">
        <fgColor rgb="FFFEF3C7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1FAE5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38"/>
    <col collapsed="false" customWidth="true" hidden="false" outlineLevel="0" max="3" min="3" style="1" width="8"/>
    <col collapsed="false" customWidth="true" hidden="false" outlineLevel="0" max="4" min="4" style="1" width="45"/>
  </cols>
  <sheetData>
    <row r="1" customFormat="false" ht="21.75" hidden="false" customHeight="true" outlineLevel="0" collapsed="false">
      <c r="A1" s="2" t="s">
        <v>0</v>
      </c>
      <c r="B1" s="2"/>
      <c r="C1" s="2"/>
      <c r="D1" s="2"/>
    </row>
    <row r="3" customFormat="false" ht="15" hidden="false" customHeight="true" outlineLevel="0" collapsed="false">
      <c r="A3" s="3" t="s">
        <v>1</v>
      </c>
      <c r="B3" s="3" t="s">
        <v>2</v>
      </c>
      <c r="C3" s="3" t="s">
        <v>3</v>
      </c>
      <c r="D3" s="3" t="s">
        <v>4</v>
      </c>
    </row>
    <row r="4" customFormat="false" ht="15" hidden="false" customHeight="true" outlineLevel="0" collapsed="false">
      <c r="A4" s="4" t="s">
        <v>5</v>
      </c>
      <c r="B4" s="5" t="s">
        <v>6</v>
      </c>
      <c r="C4" s="4"/>
      <c r="D4" s="6"/>
    </row>
    <row r="5" customFormat="false" ht="15" hidden="false" customHeight="true" outlineLevel="0" collapsed="false">
      <c r="A5" s="4" t="s">
        <v>7</v>
      </c>
      <c r="B5" s="5" t="s">
        <v>8</v>
      </c>
      <c r="C5" s="4"/>
      <c r="D5" s="6"/>
    </row>
    <row r="6" customFormat="false" ht="15" hidden="false" customHeight="true" outlineLevel="0" collapsed="false">
      <c r="A6" s="4" t="s">
        <v>9</v>
      </c>
      <c r="B6" s="5" t="n">
        <v>30</v>
      </c>
      <c r="C6" s="4" t="s">
        <v>10</v>
      </c>
      <c r="D6" s="6" t="s">
        <v>11</v>
      </c>
    </row>
    <row r="7" customFormat="false" ht="15" hidden="false" customHeight="true" outlineLevel="0" collapsed="false">
      <c r="A7" s="4" t="s">
        <v>12</v>
      </c>
      <c r="B7" s="5" t="n">
        <v>30</v>
      </c>
      <c r="C7" s="4" t="s">
        <v>10</v>
      </c>
      <c r="D7" s="6" t="s">
        <v>13</v>
      </c>
    </row>
    <row r="8" customFormat="false" ht="15" hidden="false" customHeight="true" outlineLevel="0" collapsed="false">
      <c r="A8" s="4" t="s">
        <v>14</v>
      </c>
      <c r="B8" s="4" t="n">
        <f aca="false">B6*B7</f>
        <v>900</v>
      </c>
      <c r="C8" s="4" t="s">
        <v>15</v>
      </c>
      <c r="D8" s="6" t="s">
        <v>16</v>
      </c>
    </row>
    <row r="9" customFormat="false" ht="15" hidden="false" customHeight="true" outlineLevel="0" collapsed="false">
      <c r="A9" s="4" t="s">
        <v>17</v>
      </c>
      <c r="B9" s="5" t="n">
        <v>343</v>
      </c>
      <c r="C9" s="4" t="s">
        <v>18</v>
      </c>
      <c r="D9" s="6" t="s">
        <v>19</v>
      </c>
    </row>
    <row r="10" customFormat="false" ht="15" hidden="false" customHeight="true" outlineLevel="0" collapsed="false">
      <c r="A10" s="4" t="s">
        <v>20</v>
      </c>
      <c r="B10" s="5" t="n">
        <v>0</v>
      </c>
      <c r="C10" s="4" t="s">
        <v>21</v>
      </c>
      <c r="D10" s="6" t="s">
        <v>22</v>
      </c>
    </row>
    <row r="11" customFormat="false" ht="15" hidden="false" customHeight="true" outlineLevel="0" collapsed="false">
      <c r="A11" s="4" t="s">
        <v>23</v>
      </c>
      <c r="B11" s="5" t="s">
        <v>24</v>
      </c>
      <c r="C11" s="4" t="s">
        <v>21</v>
      </c>
      <c r="D11" s="6" t="s">
        <v>25</v>
      </c>
    </row>
    <row r="12" customFormat="false" ht="15" hidden="false" customHeight="true" outlineLevel="0" collapsed="false">
      <c r="A12" s="4" t="s">
        <v>26</v>
      </c>
      <c r="B12" s="5" t="n">
        <v>3</v>
      </c>
      <c r="C12" s="4" t="s">
        <v>21</v>
      </c>
      <c r="D12" s="6" t="s">
        <v>27</v>
      </c>
    </row>
    <row r="13" customFormat="false" ht="15" hidden="false" customHeight="true" outlineLevel="0" collapsed="false">
      <c r="A13" s="4" t="s">
        <v>28</v>
      </c>
      <c r="B13" s="5" t="n">
        <v>20</v>
      </c>
      <c r="C13" s="4" t="s">
        <v>29</v>
      </c>
      <c r="D13" s="6"/>
    </row>
    <row r="14" customFormat="false" ht="15" hidden="false" customHeight="true" outlineLevel="0" collapsed="false">
      <c r="A14" s="4" t="s">
        <v>30</v>
      </c>
      <c r="B14" s="5" t="n">
        <v>200</v>
      </c>
      <c r="C14" s="4" t="s">
        <v>29</v>
      </c>
      <c r="D14" s="6"/>
    </row>
    <row r="15" customFormat="false" ht="15" hidden="false" customHeight="true" outlineLevel="0" collapsed="false">
      <c r="A15" s="4" t="s">
        <v>31</v>
      </c>
      <c r="B15" s="5" t="n">
        <v>13</v>
      </c>
      <c r="C15" s="4"/>
      <c r="D15" s="6"/>
    </row>
    <row r="16" customFormat="false" ht="15" hidden="false" customHeight="true" outlineLevel="0" collapsed="false">
      <c r="A16" s="4" t="s">
        <v>32</v>
      </c>
      <c r="B16" s="5" t="n">
        <v>0</v>
      </c>
      <c r="C16" s="4" t="s">
        <v>21</v>
      </c>
      <c r="D16" s="6" t="s">
        <v>33</v>
      </c>
    </row>
    <row r="17" customFormat="false" ht="15" hidden="false" customHeight="true" outlineLevel="0" collapsed="false">
      <c r="A17" s="4" t="s">
        <v>34</v>
      </c>
      <c r="B17" s="5" t="n">
        <v>1</v>
      </c>
      <c r="C17" s="4" t="s">
        <v>21</v>
      </c>
      <c r="D17" s="6" t="s">
        <v>35</v>
      </c>
    </row>
    <row r="18" customFormat="false" ht="15" hidden="false" customHeight="true" outlineLevel="0" collapsed="false">
      <c r="A18" s="4" t="s">
        <v>36</v>
      </c>
      <c r="B18" s="5" t="n">
        <v>2</v>
      </c>
      <c r="C18" s="4"/>
      <c r="D18" s="6" t="s">
        <v>37</v>
      </c>
    </row>
    <row r="19" customFormat="false" ht="15" hidden="false" customHeight="true" outlineLevel="0" collapsed="false">
      <c r="A19" s="4" t="s">
        <v>38</v>
      </c>
      <c r="B19" s="5" t="n">
        <v>2</v>
      </c>
      <c r="C19" s="4"/>
      <c r="D19" s="6" t="s">
        <v>39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8"/>
    <col collapsed="false" customWidth="true" hidden="false" outlineLevel="0" max="3" min="3" style="1" width="22"/>
    <col collapsed="false" customWidth="true" hidden="false" outlineLevel="0" max="4" min="4" style="1" width="30"/>
  </cols>
  <sheetData>
    <row r="1" customFormat="false" ht="21.75" hidden="false" customHeight="true" outlineLevel="0" collapsed="false">
      <c r="A1" s="2" t="s">
        <v>40</v>
      </c>
      <c r="B1" s="2"/>
      <c r="C1" s="2"/>
      <c r="D1" s="2"/>
    </row>
    <row r="3" customFormat="false" ht="15" hidden="false" customHeight="true" outlineLevel="0" collapsed="false">
      <c r="A3" s="3" t="s">
        <v>41</v>
      </c>
      <c r="B3" s="3" t="s">
        <v>42</v>
      </c>
      <c r="C3" s="3" t="s">
        <v>43</v>
      </c>
      <c r="D3" s="3" t="s">
        <v>4</v>
      </c>
    </row>
    <row r="4" customFormat="false" ht="15" hidden="false" customHeight="true" outlineLevel="0" collapsed="false">
      <c r="A4" s="5" t="n">
        <v>20</v>
      </c>
      <c r="B4" s="7" t="n">
        <f aca="false">'Project Config'!$B$9/A4</f>
        <v>17.15</v>
      </c>
      <c r="C4" s="5" t="s">
        <v>44</v>
      </c>
      <c r="D4" s="6"/>
    </row>
    <row r="5" customFormat="false" ht="15" hidden="false" customHeight="true" outlineLevel="0" collapsed="false">
      <c r="A5" s="5" t="n">
        <v>30</v>
      </c>
      <c r="B5" s="7" t="n">
        <f aca="false">'Project Config'!$B$9/A5</f>
        <v>11.4333333333333</v>
      </c>
      <c r="C5" s="5" t="s">
        <v>44</v>
      </c>
      <c r="D5" s="6"/>
    </row>
    <row r="6" customFormat="false" ht="15" hidden="false" customHeight="true" outlineLevel="0" collapsed="false">
      <c r="A6" s="5" t="n">
        <v>40</v>
      </c>
      <c r="B6" s="7" t="n">
        <f aca="false">'Project Config'!$B$9/A6</f>
        <v>8.575</v>
      </c>
      <c r="C6" s="5" t="s">
        <v>44</v>
      </c>
      <c r="D6" s="6"/>
    </row>
    <row r="7" customFormat="false" ht="15" hidden="false" customHeight="true" outlineLevel="0" collapsed="false">
      <c r="A7" s="5" t="n">
        <v>50</v>
      </c>
      <c r="B7" s="7" t="n">
        <f aca="false">'Project Config'!$B$9/A7</f>
        <v>6.86</v>
      </c>
      <c r="C7" s="5" t="s">
        <v>44</v>
      </c>
      <c r="D7" s="6"/>
    </row>
    <row r="8" customFormat="false" ht="15" hidden="false" customHeight="true" outlineLevel="0" collapsed="false">
      <c r="A8" s="5" t="n">
        <v>60</v>
      </c>
      <c r="B8" s="7" t="n">
        <f aca="false">'Project Config'!$B$9/A8</f>
        <v>5.71666666666667</v>
      </c>
      <c r="C8" s="5" t="s">
        <v>44</v>
      </c>
      <c r="D8" s="6"/>
    </row>
    <row r="9" customFormat="false" ht="15" hidden="false" customHeight="true" outlineLevel="0" collapsed="false">
      <c r="A9" s="5" t="n">
        <v>70</v>
      </c>
      <c r="B9" s="7" t="n">
        <f aca="false">'Project Config'!$B$9/A9</f>
        <v>4.9</v>
      </c>
      <c r="C9" s="5" t="s">
        <v>44</v>
      </c>
      <c r="D9" s="6"/>
    </row>
    <row r="10" customFormat="false" ht="15" hidden="false" customHeight="true" outlineLevel="0" collapsed="false">
      <c r="A10" s="5" t="n">
        <v>80</v>
      </c>
      <c r="B10" s="7" t="n">
        <f aca="false">'Project Config'!$B$9/A10</f>
        <v>4.2875</v>
      </c>
      <c r="C10" s="5" t="s">
        <v>44</v>
      </c>
      <c r="D10" s="6"/>
    </row>
    <row r="11" customFormat="false" ht="15" hidden="false" customHeight="true" outlineLevel="0" collapsed="false">
      <c r="A11" s="5" t="n">
        <v>90</v>
      </c>
      <c r="B11" s="7" t="n">
        <f aca="false">'Project Config'!$B$9/A11</f>
        <v>3.81111111111111</v>
      </c>
      <c r="C11" s="5" t="s">
        <v>44</v>
      </c>
      <c r="D11" s="6"/>
    </row>
    <row r="12" customFormat="false" ht="15" hidden="false" customHeight="true" outlineLevel="0" collapsed="false">
      <c r="A12" s="5" t="n">
        <v>100</v>
      </c>
      <c r="B12" s="7" t="n">
        <f aca="false">'Project Config'!$B$9/A12</f>
        <v>3.43</v>
      </c>
      <c r="C12" s="5" t="s">
        <v>44</v>
      </c>
      <c r="D12" s="6"/>
    </row>
    <row r="13" customFormat="false" ht="15" hidden="false" customHeight="true" outlineLevel="0" collapsed="false">
      <c r="A13" s="5" t="n">
        <v>110</v>
      </c>
      <c r="B13" s="7" t="n">
        <f aca="false">'Project Config'!$B$9/A13</f>
        <v>3.11818181818182</v>
      </c>
      <c r="C13" s="5" t="s">
        <v>44</v>
      </c>
      <c r="D13" s="6"/>
    </row>
    <row r="14" customFormat="false" ht="15" hidden="false" customHeight="true" outlineLevel="0" collapsed="false">
      <c r="A14" s="5" t="n">
        <v>120</v>
      </c>
      <c r="B14" s="7" t="n">
        <f aca="false">'Project Config'!$B$9/A14</f>
        <v>2.85833333333333</v>
      </c>
      <c r="C14" s="5" t="s">
        <v>44</v>
      </c>
      <c r="D14" s="6"/>
    </row>
    <row r="15" customFormat="false" ht="15" hidden="false" customHeight="true" outlineLevel="0" collapsed="false">
      <c r="A15" s="5" t="n">
        <v>150</v>
      </c>
      <c r="B15" s="7" t="n">
        <f aca="false">'Project Config'!$B$9/A15</f>
        <v>2.28666666666667</v>
      </c>
      <c r="C15" s="5" t="s">
        <v>44</v>
      </c>
      <c r="D15" s="6"/>
    </row>
    <row r="16" customFormat="false" ht="15" hidden="false" customHeight="true" outlineLevel="0" collapsed="false">
      <c r="A16" s="5" t="n">
        <v>200</v>
      </c>
      <c r="B16" s="7" t="n">
        <f aca="false">'Project Config'!$B$9/A16</f>
        <v>1.715</v>
      </c>
      <c r="C16" s="5" t="s">
        <v>44</v>
      </c>
      <c r="D16" s="6"/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4"/>
    <col collapsed="false" customWidth="true" hidden="false" outlineLevel="0" max="3" min="3" style="1" width="8"/>
    <col collapsed="false" customWidth="true" hidden="false" outlineLevel="0" max="4" min="4" style="1" width="55"/>
  </cols>
  <sheetData>
    <row r="1" customFormat="false" ht="21.75" hidden="false" customHeight="true" outlineLevel="0" collapsed="false">
      <c r="A1" s="2" t="s">
        <v>45</v>
      </c>
      <c r="B1" s="2"/>
      <c r="C1" s="2"/>
      <c r="D1" s="2"/>
    </row>
    <row r="3" customFormat="false" ht="15" hidden="false" customHeight="true" outlineLevel="0" collapsed="false">
      <c r="A3" s="3" t="s">
        <v>1</v>
      </c>
      <c r="B3" s="3" t="s">
        <v>2</v>
      </c>
      <c r="C3" s="3" t="s">
        <v>3</v>
      </c>
      <c r="D3" s="3" t="s">
        <v>4</v>
      </c>
    </row>
    <row r="4" customFormat="false" ht="15" hidden="false" customHeight="true" outlineLevel="0" collapsed="false">
      <c r="A4" s="4" t="s">
        <v>46</v>
      </c>
      <c r="B4" s="5" t="s">
        <v>47</v>
      </c>
      <c r="C4" s="4"/>
      <c r="D4" s="6" t="s">
        <v>48</v>
      </c>
    </row>
    <row r="5" customFormat="false" ht="15" hidden="false" customHeight="true" outlineLevel="0" collapsed="false">
      <c r="A5" s="4" t="s">
        <v>49</v>
      </c>
      <c r="B5" s="5" t="n">
        <v>0.738</v>
      </c>
      <c r="C5" s="4" t="s">
        <v>10</v>
      </c>
      <c r="D5" s="6" t="s">
        <v>50</v>
      </c>
    </row>
    <row r="6" customFormat="false" ht="15" hidden="false" customHeight="true" outlineLevel="0" collapsed="false">
      <c r="A6" s="4" t="s">
        <v>51</v>
      </c>
      <c r="B6" s="5" t="n">
        <v>0.595</v>
      </c>
      <c r="C6" s="4" t="s">
        <v>10</v>
      </c>
      <c r="D6" s="6" t="s">
        <v>52</v>
      </c>
    </row>
    <row r="7" customFormat="false" ht="15" hidden="false" customHeight="true" outlineLevel="0" collapsed="false">
      <c r="A7" s="4" t="s">
        <v>53</v>
      </c>
      <c r="B7" s="5" t="n">
        <v>0.708</v>
      </c>
      <c r="C7" s="4" t="s">
        <v>10</v>
      </c>
      <c r="D7" s="6" t="s">
        <v>54</v>
      </c>
    </row>
    <row r="8" customFormat="false" ht="15" hidden="false" customHeight="true" outlineLevel="0" collapsed="false">
      <c r="A8" s="4" t="s">
        <v>55</v>
      </c>
      <c r="B8" s="5" t="n">
        <v>47</v>
      </c>
      <c r="C8" s="4" t="s">
        <v>56</v>
      </c>
      <c r="D8" s="6" t="s">
        <v>57</v>
      </c>
    </row>
    <row r="9" customFormat="false" ht="15" hidden="false" customHeight="true" outlineLevel="0" collapsed="false">
      <c r="A9" s="4" t="s">
        <v>58</v>
      </c>
      <c r="B9" s="5" t="n">
        <v>8</v>
      </c>
      <c r="C9" s="4" t="s">
        <v>59</v>
      </c>
      <c r="D9" s="6"/>
    </row>
    <row r="10" customFormat="false" ht="15" hidden="false" customHeight="true" outlineLevel="0" collapsed="false">
      <c r="A10" s="4" t="s">
        <v>60</v>
      </c>
      <c r="B10" s="5" t="n">
        <v>42</v>
      </c>
      <c r="C10" s="4" t="s">
        <v>29</v>
      </c>
      <c r="D10" s="6" t="s">
        <v>61</v>
      </c>
    </row>
    <row r="11" customFormat="false" ht="15" hidden="false" customHeight="true" outlineLevel="0" collapsed="false">
      <c r="A11" s="4" t="s">
        <v>62</v>
      </c>
      <c r="B11" s="5" t="n">
        <v>2400</v>
      </c>
      <c r="C11" s="4" t="s">
        <v>63</v>
      </c>
      <c r="D11" s="6" t="s">
        <v>64</v>
      </c>
    </row>
    <row r="12" customFormat="false" ht="15" hidden="false" customHeight="true" outlineLevel="0" collapsed="false">
      <c r="A12" s="4" t="s">
        <v>65</v>
      </c>
      <c r="B12" s="5" t="s">
        <v>66</v>
      </c>
      <c r="C12" s="4"/>
      <c r="D12" s="6" t="s">
        <v>67</v>
      </c>
    </row>
    <row r="13" customFormat="false" ht="15" hidden="false" customHeight="true" outlineLevel="0" collapsed="false">
      <c r="A13" s="4" t="s">
        <v>68</v>
      </c>
      <c r="B13" s="5" t="s">
        <v>44</v>
      </c>
      <c r="C13" s="4"/>
      <c r="D13" s="6"/>
    </row>
    <row r="14" customFormat="false" ht="15" hidden="false" customHeight="true" outlineLevel="0" collapsed="false">
      <c r="A14" s="4" t="s">
        <v>69</v>
      </c>
      <c r="B14" s="5" t="s">
        <v>44</v>
      </c>
      <c r="C14" s="4"/>
      <c r="D14" s="6"/>
    </row>
    <row r="15" customFormat="false" ht="15" hidden="false" customHeight="true" outlineLevel="0" collapsed="false">
      <c r="A15" s="4" t="s">
        <v>70</v>
      </c>
      <c r="B15" s="5" t="s">
        <v>44</v>
      </c>
      <c r="C15" s="4"/>
      <c r="D15" s="6"/>
    </row>
    <row r="16" customFormat="false" ht="15" hidden="false" customHeight="true" outlineLevel="0" collapsed="false">
      <c r="A16" s="4" t="s">
        <v>71</v>
      </c>
      <c r="B16" s="5" t="s">
        <v>44</v>
      </c>
      <c r="C16" s="4"/>
      <c r="D16" s="6"/>
    </row>
    <row r="17" customFormat="false" ht="15" hidden="false" customHeight="true" outlineLevel="0" collapsed="false">
      <c r="A17" s="4" t="s">
        <v>72</v>
      </c>
      <c r="B17" s="5" t="s">
        <v>44</v>
      </c>
      <c r="C17" s="4"/>
      <c r="D17" s="6"/>
    </row>
    <row r="18" customFormat="false" ht="15" hidden="false" customHeight="true" outlineLevel="0" collapsed="false">
      <c r="A18" s="4" t="s">
        <v>73</v>
      </c>
      <c r="B18" s="5" t="s">
        <v>44</v>
      </c>
      <c r="C18" s="4"/>
      <c r="D18" s="6"/>
    </row>
    <row r="19" customFormat="false" ht="15" hidden="false" customHeight="true" outlineLevel="0" collapsed="false">
      <c r="A19" s="4" t="s">
        <v>74</v>
      </c>
      <c r="B19" s="5" t="s">
        <v>44</v>
      </c>
      <c r="C19" s="4"/>
      <c r="D19" s="6"/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28"/>
    <col collapsed="false" customWidth="true" hidden="false" outlineLevel="0" max="3" min="3" style="1" width="12"/>
    <col collapsed="false" customWidth="true" hidden="false" outlineLevel="0" max="4" min="4" style="1" width="30"/>
  </cols>
  <sheetData>
    <row r="1" customFormat="false" ht="21.75" hidden="false" customHeight="true" outlineLevel="0" collapsed="false">
      <c r="A1" s="2" t="s">
        <v>75</v>
      </c>
      <c r="B1" s="2"/>
      <c r="C1" s="2"/>
      <c r="D1" s="2"/>
    </row>
    <row r="3" customFormat="false" ht="15" hidden="false" customHeight="true" outlineLevel="0" collapsed="false">
      <c r="A3" s="3" t="s">
        <v>76</v>
      </c>
      <c r="B3" s="3" t="s">
        <v>77</v>
      </c>
      <c r="C3" s="3" t="s">
        <v>78</v>
      </c>
      <c r="D3" s="3" t="s">
        <v>4</v>
      </c>
    </row>
    <row r="4" customFormat="false" ht="15" hidden="false" customHeight="true" outlineLevel="0" collapsed="false">
      <c r="A4" s="4" t="s">
        <v>79</v>
      </c>
      <c r="B4" s="4" t="s">
        <v>80</v>
      </c>
      <c r="C4" s="8" t="s">
        <v>81</v>
      </c>
      <c r="D4" s="6" t="s">
        <v>82</v>
      </c>
    </row>
    <row r="5" customFormat="false" ht="15" hidden="false" customHeight="true" outlineLevel="0" collapsed="false">
      <c r="A5" s="4" t="s">
        <v>79</v>
      </c>
      <c r="B5" s="4" t="s">
        <v>83</v>
      </c>
      <c r="C5" s="8" t="s">
        <v>81</v>
      </c>
      <c r="D5" s="6" t="s">
        <v>84</v>
      </c>
    </row>
    <row r="6" customFormat="false" ht="15" hidden="false" customHeight="true" outlineLevel="0" collapsed="false">
      <c r="A6" s="4" t="s">
        <v>79</v>
      </c>
      <c r="B6" s="4" t="s">
        <v>85</v>
      </c>
      <c r="C6" s="8" t="s">
        <v>81</v>
      </c>
      <c r="D6" s="6"/>
    </row>
    <row r="7" customFormat="false" ht="15" hidden="false" customHeight="true" outlineLevel="0" collapsed="false">
      <c r="A7" s="4" t="s">
        <v>79</v>
      </c>
      <c r="B7" s="4" t="s">
        <v>86</v>
      </c>
      <c r="C7" s="8" t="s">
        <v>81</v>
      </c>
      <c r="D7" s="6"/>
    </row>
    <row r="8" customFormat="false" ht="15" hidden="false" customHeight="true" outlineLevel="0" collapsed="false">
      <c r="A8" s="4" t="s">
        <v>79</v>
      </c>
      <c r="B8" s="4" t="s">
        <v>87</v>
      </c>
      <c r="C8" s="8" t="s">
        <v>81</v>
      </c>
      <c r="D8" s="6"/>
    </row>
    <row r="9" customFormat="false" ht="15" hidden="false" customHeight="true" outlineLevel="0" collapsed="false">
      <c r="A9" s="4" t="s">
        <v>79</v>
      </c>
      <c r="B9" s="4" t="s">
        <v>88</v>
      </c>
      <c r="C9" s="8" t="s">
        <v>81</v>
      </c>
      <c r="D9" s="6"/>
    </row>
    <row r="10" customFormat="false" ht="15" hidden="false" customHeight="true" outlineLevel="0" collapsed="false">
      <c r="A10" s="4" t="s">
        <v>89</v>
      </c>
      <c r="B10" s="4" t="s">
        <v>90</v>
      </c>
      <c r="C10" s="8" t="s">
        <v>81</v>
      </c>
      <c r="D10" s="6"/>
    </row>
    <row r="11" customFormat="false" ht="15" hidden="false" customHeight="true" outlineLevel="0" collapsed="false">
      <c r="A11" s="4" t="s">
        <v>89</v>
      </c>
      <c r="B11" s="4" t="s">
        <v>91</v>
      </c>
      <c r="C11" s="8" t="s">
        <v>81</v>
      </c>
      <c r="D11" s="6"/>
    </row>
    <row r="12" customFormat="false" ht="15" hidden="false" customHeight="true" outlineLevel="0" collapsed="false">
      <c r="A12" s="4" t="s">
        <v>89</v>
      </c>
      <c r="B12" s="4" t="s">
        <v>92</v>
      </c>
      <c r="C12" s="8" t="s">
        <v>81</v>
      </c>
      <c r="D12" s="6"/>
    </row>
    <row r="13" customFormat="false" ht="15" hidden="false" customHeight="true" outlineLevel="0" collapsed="false">
      <c r="A13" s="4" t="s">
        <v>89</v>
      </c>
      <c r="B13" s="4" t="s">
        <v>93</v>
      </c>
      <c r="C13" s="8" t="s">
        <v>81</v>
      </c>
      <c r="D13" s="6"/>
    </row>
    <row r="14" customFormat="false" ht="15" hidden="false" customHeight="true" outlineLevel="0" collapsed="false">
      <c r="A14" s="4" t="s">
        <v>89</v>
      </c>
      <c r="B14" s="4" t="s">
        <v>94</v>
      </c>
      <c r="C14" s="8" t="s">
        <v>81</v>
      </c>
      <c r="D14" s="6"/>
    </row>
    <row r="15" customFormat="false" ht="15" hidden="false" customHeight="true" outlineLevel="0" collapsed="false">
      <c r="A15" s="4" t="s">
        <v>95</v>
      </c>
      <c r="B15" s="4" t="s">
        <v>96</v>
      </c>
      <c r="C15" s="8" t="s">
        <v>81</v>
      </c>
      <c r="D15" s="6" t="s">
        <v>97</v>
      </c>
    </row>
    <row r="16" customFormat="false" ht="15" hidden="false" customHeight="true" outlineLevel="0" collapsed="false">
      <c r="A16" s="4" t="s">
        <v>95</v>
      </c>
      <c r="B16" s="4" t="s">
        <v>98</v>
      </c>
      <c r="C16" s="8" t="s">
        <v>81</v>
      </c>
      <c r="D16" s="6" t="s">
        <v>99</v>
      </c>
    </row>
    <row r="17" customFormat="false" ht="15" hidden="false" customHeight="true" outlineLevel="0" collapsed="false">
      <c r="A17" s="4" t="s">
        <v>95</v>
      </c>
      <c r="B17" s="4" t="s">
        <v>100</v>
      </c>
      <c r="C17" s="8" t="s">
        <v>81</v>
      </c>
      <c r="D17" s="6"/>
    </row>
    <row r="18" customFormat="false" ht="15" hidden="false" customHeight="true" outlineLevel="0" collapsed="false">
      <c r="A18" s="4" t="s">
        <v>95</v>
      </c>
      <c r="B18" s="4" t="s">
        <v>101</v>
      </c>
      <c r="C18" s="8" t="s">
        <v>81</v>
      </c>
      <c r="D18" s="6"/>
    </row>
    <row r="19" customFormat="false" ht="15" hidden="false" customHeight="true" outlineLevel="0" collapsed="false">
      <c r="A19" s="4" t="s">
        <v>95</v>
      </c>
      <c r="B19" s="4" t="s">
        <v>102</v>
      </c>
      <c r="C19" s="8" t="s">
        <v>81</v>
      </c>
      <c r="D19" s="6"/>
    </row>
    <row r="20" customFormat="false" ht="15" hidden="false" customHeight="true" outlineLevel="0" collapsed="false">
      <c r="A20" s="4" t="s">
        <v>103</v>
      </c>
      <c r="B20" s="4" t="s">
        <v>104</v>
      </c>
      <c r="C20" s="8" t="s">
        <v>81</v>
      </c>
      <c r="D20" s="6"/>
    </row>
    <row r="21" customFormat="false" ht="15" hidden="false" customHeight="true" outlineLevel="0" collapsed="false">
      <c r="A21" s="4" t="s">
        <v>103</v>
      </c>
      <c r="B21" s="4" t="s">
        <v>105</v>
      </c>
      <c r="C21" s="8" t="s">
        <v>81</v>
      </c>
      <c r="D21" s="6" t="s">
        <v>106</v>
      </c>
    </row>
    <row r="22" customFormat="false" ht="15" hidden="false" customHeight="true" outlineLevel="0" collapsed="false">
      <c r="A22" s="4" t="s">
        <v>103</v>
      </c>
      <c r="B22" s="4" t="s">
        <v>107</v>
      </c>
      <c r="C22" s="8" t="s">
        <v>81</v>
      </c>
      <c r="D22" s="6" t="s">
        <v>108</v>
      </c>
    </row>
    <row r="23" customFormat="false" ht="15" hidden="false" customHeight="true" outlineLevel="0" collapsed="false">
      <c r="A23" s="4" t="s">
        <v>103</v>
      </c>
      <c r="B23" s="4" t="s">
        <v>109</v>
      </c>
      <c r="C23" s="8" t="s">
        <v>81</v>
      </c>
      <c r="D23" s="6" t="s">
        <v>110</v>
      </c>
    </row>
    <row r="24" customFormat="false" ht="15" hidden="false" customHeight="true" outlineLevel="0" collapsed="false">
      <c r="A24" s="4" t="s">
        <v>103</v>
      </c>
      <c r="B24" s="4" t="s">
        <v>111</v>
      </c>
      <c r="C24" s="8" t="s">
        <v>81</v>
      </c>
      <c r="D24" s="6" t="s">
        <v>112</v>
      </c>
    </row>
    <row r="25" customFormat="false" ht="15" hidden="false" customHeight="true" outlineLevel="0" collapsed="false">
      <c r="A25" s="4" t="s">
        <v>103</v>
      </c>
      <c r="B25" s="4" t="s">
        <v>113</v>
      </c>
      <c r="C25" s="8" t="s">
        <v>81</v>
      </c>
      <c r="D25" s="6" t="s">
        <v>114</v>
      </c>
    </row>
    <row r="26" customFormat="false" ht="15" hidden="false" customHeight="true" outlineLevel="0" collapsed="false">
      <c r="A26" s="4" t="s">
        <v>103</v>
      </c>
      <c r="B26" s="4" t="s">
        <v>115</v>
      </c>
      <c r="C26" s="8" t="s">
        <v>81</v>
      </c>
      <c r="D26" s="6" t="s">
        <v>116</v>
      </c>
    </row>
    <row r="27" customFormat="false" ht="15" hidden="false" customHeight="true" outlineLevel="0" collapsed="false">
      <c r="A27" s="4" t="s">
        <v>103</v>
      </c>
      <c r="B27" s="4" t="s">
        <v>117</v>
      </c>
      <c r="C27" s="9" t="s">
        <v>118</v>
      </c>
      <c r="D27" s="6" t="s">
        <v>119</v>
      </c>
    </row>
    <row r="28" customFormat="false" ht="15" hidden="false" customHeight="true" outlineLevel="0" collapsed="false">
      <c r="A28" s="4" t="s">
        <v>103</v>
      </c>
      <c r="B28" s="4" t="s">
        <v>120</v>
      </c>
      <c r="C28" s="9" t="s">
        <v>118</v>
      </c>
      <c r="D28" s="6" t="s">
        <v>121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3" min="2" style="1" width="16"/>
    <col collapsed="false" customWidth="true" hidden="false" outlineLevel="0" max="4" min="4" style="1" width="12"/>
    <col collapsed="false" customWidth="true" hidden="false" outlineLevel="0" max="5" min="5" style="1" width="14"/>
    <col collapsed="false" customWidth="true" hidden="false" outlineLevel="0" max="6" min="6" style="1" width="12"/>
    <col collapsed="false" customWidth="true" hidden="false" outlineLevel="0" max="7" min="7" style="1" width="14"/>
    <col collapsed="false" customWidth="true" hidden="false" outlineLevel="0" max="8" min="8" style="1" width="12"/>
  </cols>
  <sheetData>
    <row r="1" customFormat="false" ht="21.75" hidden="false" customHeight="true" outlineLevel="0" collapsed="false">
      <c r="A1" s="2" t="s">
        <v>122</v>
      </c>
      <c r="B1" s="2"/>
      <c r="C1" s="2"/>
      <c r="D1" s="2"/>
      <c r="E1" s="2"/>
      <c r="F1" s="2"/>
      <c r="G1" s="2"/>
      <c r="H1" s="2"/>
    </row>
    <row r="3" customFormat="false" ht="15" hidden="false" customHeight="true" outlineLevel="0" collapsed="false">
      <c r="A3" s="3" t="s">
        <v>123</v>
      </c>
      <c r="B3" s="3" t="s">
        <v>124</v>
      </c>
      <c r="C3" s="3" t="s">
        <v>125</v>
      </c>
      <c r="D3" s="3" t="s">
        <v>126</v>
      </c>
      <c r="E3" s="3" t="s">
        <v>127</v>
      </c>
      <c r="F3" s="3" t="s">
        <v>128</v>
      </c>
      <c r="G3" s="3" t="s">
        <v>129</v>
      </c>
      <c r="H3" s="3" t="s">
        <v>130</v>
      </c>
    </row>
    <row r="4" customFormat="false" ht="15" hidden="false" customHeight="true" outlineLevel="0" collapsed="false">
      <c r="A4" s="5" t="s">
        <v>131</v>
      </c>
      <c r="B4" s="5" t="n">
        <v>10</v>
      </c>
      <c r="C4" s="5" t="n">
        <v>10</v>
      </c>
      <c r="D4" s="5" t="n">
        <v>0</v>
      </c>
      <c r="E4" s="5" t="n">
        <v>0</v>
      </c>
      <c r="F4" s="5" t="s">
        <v>132</v>
      </c>
      <c r="G4" s="5" t="s">
        <v>133</v>
      </c>
      <c r="H4" s="5" t="s">
        <v>44</v>
      </c>
    </row>
    <row r="5" customFormat="false" ht="15" hidden="false" customHeight="true" outlineLevel="0" collapsed="false">
      <c r="A5" s="5" t="s">
        <v>134</v>
      </c>
      <c r="B5" s="5" t="n">
        <v>15</v>
      </c>
      <c r="C5" s="5" t="n">
        <v>10</v>
      </c>
      <c r="D5" s="5" t="n">
        <v>0</v>
      </c>
      <c r="E5" s="5" t="n">
        <v>0</v>
      </c>
      <c r="F5" s="5" t="s">
        <v>132</v>
      </c>
      <c r="G5" s="5" t="s">
        <v>133</v>
      </c>
      <c r="H5" s="5" t="s">
        <v>44</v>
      </c>
    </row>
    <row r="6" customFormat="false" ht="15" hidden="false" customHeight="true" outlineLevel="0" collapsed="false">
      <c r="A6" s="5" t="s">
        <v>135</v>
      </c>
      <c r="B6" s="5" t="n">
        <v>0</v>
      </c>
      <c r="C6" s="5" t="n">
        <v>0</v>
      </c>
      <c r="D6" s="5" t="n">
        <v>0</v>
      </c>
      <c r="E6" s="5" t="n">
        <v>0</v>
      </c>
      <c r="F6" s="5" t="s">
        <v>132</v>
      </c>
      <c r="G6" s="5" t="s">
        <v>133</v>
      </c>
      <c r="H6" s="5" t="s">
        <v>136</v>
      </c>
    </row>
    <row r="7" customFormat="false" ht="15" hidden="false" customHeight="true" outlineLevel="0" collapsed="false">
      <c r="A7" s="5" t="s">
        <v>137</v>
      </c>
      <c r="B7" s="5" t="n">
        <v>0</v>
      </c>
      <c r="C7" s="5" t="n">
        <v>0</v>
      </c>
      <c r="D7" s="5" t="n">
        <v>0</v>
      </c>
      <c r="E7" s="5" t="n">
        <v>0</v>
      </c>
      <c r="F7" s="5" t="s">
        <v>132</v>
      </c>
      <c r="G7" s="5" t="s">
        <v>133</v>
      </c>
      <c r="H7" s="5" t="s">
        <v>136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2026-06-23T11:19:35Z</dcterms:created>
  <dc:creator>openpyxl</dc:creator>
  <dc:description/>
  <dc:language>en-US</dc:language>
  <cp:lastModifiedBy/>
  <dcterms:modified xsi:type="dcterms:W3CDTF">2026-06-23T11:19:58Z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